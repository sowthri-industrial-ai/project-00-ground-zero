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zure Spend Detail" sheetId="2" state="visible" r:id="rId4"/>
    <sheet name="Pricing Reference" sheetId="3" state="visible" r:id="rId5"/>
    <sheet name="Wave Schedu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<sst xmlns="http://schemas.openxmlformats.org/spreadsheetml/2006/main" count="249" uniqueCount="176">
  <si>
    <t xml:space="preserve">GenAI Architect Portfolio · Ground Zero TCO</t>
  </si>
  <si>
    <t xml:space="preserve">Revision 1.0 · 2026-04-24 · Dammam</t>
  </si>
  <si>
    <t xml:space="preserve">Budget Envelope</t>
  </si>
  <si>
    <t xml:space="preserve">Metric</t>
  </si>
  <si>
    <t xml:space="preserve">Value ($)</t>
  </si>
  <si>
    <t xml:space="preserve">% of ceiling</t>
  </si>
  <si>
    <t xml:space="preserve">Notes</t>
  </si>
  <si>
    <t xml:space="preserve">Azure free-credit ceiling</t>
  </si>
  <si>
    <t xml:space="preserve">Fresh Azure account · 30-day clock</t>
  </si>
  <si>
    <t xml:space="preserve">Ground Zero Azure spend (Wave 4)</t>
  </si>
  <si>
    <t xml:space="preserve">Full breakdown: Azure Spend Detail sheet</t>
  </si>
  <si>
    <t xml:space="preserve">Reserved for Project 1+</t>
  </si>
  <si>
    <t xml:space="preserve">Deliberate · Ground Zero does not consume Project 1 budget</t>
  </si>
  <si>
    <t xml:space="preserve">Validation · GZ + reserve</t>
  </si>
  <si>
    <t xml:space="preserve">Must equal $200 / 100%</t>
  </si>
  <si>
    <t xml:space="preserve">NFR-04 compliance check</t>
  </si>
  <si>
    <t xml:space="preserve">Check</t>
  </si>
  <si>
    <t xml:space="preserve">Value</t>
  </si>
  <si>
    <t xml:space="preserve">Status</t>
  </si>
  <si>
    <t xml:space="preserve">NFR-04 · Ground Zero &lt;= $25</t>
  </si>
  <si>
    <t xml:space="preserve">Charter NFR-04 ceiling</t>
  </si>
  <si>
    <t xml:space="preserve">Spend by Block</t>
  </si>
  <si>
    <t xml:space="preserve">Block</t>
  </si>
  <si>
    <t xml:space="preserve">Wave</t>
  </si>
  <si>
    <t xml:space="preserve">Description</t>
  </si>
  <si>
    <t xml:space="preserve">Est. $</t>
  </si>
  <si>
    <t xml:space="preserve">A · Platform &amp; Identity</t>
  </si>
  <si>
    <t xml:space="preserve">1</t>
  </si>
  <si>
    <t xml:space="preserve">No Azure spend · local-only scaffold</t>
  </si>
  <si>
    <t xml:space="preserve">B · Runtime Substrate</t>
  </si>
  <si>
    <t xml:space="preserve">No Azure spend · local-only (Wave 1)</t>
  </si>
  <si>
    <t xml:space="preserve">C · Delivery Pipeline</t>
  </si>
  <si>
    <t xml:space="preserve">2</t>
  </si>
  <si>
    <t xml:space="preserve">No Azure spend · GH Actions only</t>
  </si>
  <si>
    <t xml:space="preserve">D · Portfolio Control Plane</t>
  </si>
  <si>
    <t xml:space="preserve">No Azure spend · GH Pages free</t>
  </si>
  <si>
    <t xml:space="preserve">E · Hello AI (build phase)</t>
  </si>
  <si>
    <t xml:space="preserve">3</t>
  </si>
  <si>
    <t xml:space="preserve">No Azure spend · Docker + Ollama local</t>
  </si>
  <si>
    <t xml:space="preserve">Wave 4 · Azure validation</t>
  </si>
  <si>
    <t xml:space="preserve">4</t>
  </si>
  <si>
    <t xml:space="preserve">Azure credit activated · validation</t>
  </si>
  <si>
    <t xml:space="preserve">Wave 5 · Close-out</t>
  </si>
  <si>
    <t xml:space="preserve">5</t>
  </si>
  <si>
    <t xml:space="preserve">No Azure spend · docs + polish</t>
  </si>
  <si>
    <t xml:space="preserve">GROUND ZERO TOTAL</t>
  </si>
  <si>
    <t xml:space="preserve">Sheet · Azure Spend Detail · Wave 4 validation sprint</t>
  </si>
  <si>
    <t xml:space="preserve">All rates linked to Pricing Reference · quantities in blue · formulas in black</t>
  </si>
  <si>
    <t xml:space="preserve">Line item</t>
  </si>
  <si>
    <t xml:space="preserve">Qty</t>
  </si>
  <si>
    <t xml:space="preserve">Unit</t>
  </si>
  <si>
    <t xml:space="preserve">Rate ($)</t>
  </si>
  <si>
    <t xml:space="preserve">Formula basis</t>
  </si>
  <si>
    <t xml:space="preserve">Cost ($)</t>
  </si>
  <si>
    <t xml:space="preserve">— Tokens · Hello AI + test runs —</t>
  </si>
  <si>
    <t xml:space="preserve">GPT-4o-mini input · 10M tokens (dev + eval + tests)</t>
  </si>
  <si>
    <t xml:space="preserve">M tokens</t>
  </si>
  <si>
    <t xml:space="preserve">qty * rate</t>
  </si>
  <si>
    <t xml:space="preserve">GPT-4o-mini output · 4M tokens</t>
  </si>
  <si>
    <t xml:space="preserve">text-embedding-3-small · 15M tokens</t>
  </si>
  <si>
    <t xml:space="preserve">GPT-4o input · 0.5M tokens (reasoning demo)</t>
  </si>
  <si>
    <t xml:space="preserve">GPT-4o output · 0.1M tokens</t>
  </si>
  <si>
    <t xml:space="preserve">— Compute · Container Apps (3 days pulse) —</t>
  </si>
  <si>
    <t xml:space="preserve">Container Apps vCPU-sec · 3d · 0.5 vCPU · 60% active</t>
  </si>
  <si>
    <t xml:space="preserve">vCPU-sec</t>
  </si>
  <si>
    <t xml:space="preserve">3*86400*0.5*0.6</t>
  </si>
  <si>
    <t xml:space="preserve">Container Apps GiB-sec · 3d · 1 GiB · 60% active</t>
  </si>
  <si>
    <t xml:space="preserve">GiB-sec</t>
  </si>
  <si>
    <t xml:space="preserve">3*86400*1.0*0.6</t>
  </si>
  <si>
    <t xml:space="preserve">— ML compute · fine-tune scaffold —</t>
  </si>
  <si>
    <t xml:space="preserve">Azure ML NC6 GPU · 2 hours (LoRA demo run)</t>
  </si>
  <si>
    <t xml:space="preserve">hours</t>
  </si>
  <si>
    <t xml:space="preserve">Fine-tune Online Endpoint · 1 hour ephemeral</t>
  </si>
  <si>
    <t xml:space="preserve">— Search · Storage · Security (free-tier) —</t>
  </si>
  <si>
    <t xml:space="preserve">AI Search Free tier · index scaffold</t>
  </si>
  <si>
    <t xml:space="preserve">months</t>
  </si>
  <si>
    <t xml:space="preserve">free-tier $0</t>
  </si>
  <si>
    <t xml:space="preserve">Cosmos DB · 1000 RU always-free</t>
  </si>
  <si>
    <t xml:space="preserve">always-free $0</t>
  </si>
  <si>
    <t xml:space="preserve">Azure Blob Storage · under 5 GB</t>
  </si>
  <si>
    <t xml:space="preserve">12-mo free $0</t>
  </si>
  <si>
    <t xml:space="preserve">Content Safety F0 · under 5K txns</t>
  </si>
  <si>
    <t xml:space="preserve">free tier $0</t>
  </si>
  <si>
    <t xml:space="preserve">Document Intelligence · 500 pages</t>
  </si>
  <si>
    <t xml:space="preserve">1000-pg</t>
  </si>
  <si>
    <t xml:space="preserve">under free</t>
  </si>
  <si>
    <t xml:space="preserve">Data egress · 10 GB (under 100GB free)</t>
  </si>
  <si>
    <t xml:space="preserve">GB over</t>
  </si>
  <si>
    <t xml:space="preserve">— Paid misc (residual) —</t>
  </si>
  <si>
    <t xml:space="preserve">Key Vault · 50K ops</t>
  </si>
  <si>
    <t xml:space="preserve">10K-ops</t>
  </si>
  <si>
    <t xml:space="preserve">Container Registry Basic · 7 days pro-rated</t>
  </si>
  <si>
    <t xml:space="preserve">— ALLaM thin demo (regional signal · Brief E Deliverable 4g) —</t>
  </si>
  <si>
    <t xml:space="preserve">ALLaM managed endpoint · 1 hour ephemeral</t>
  </si>
  <si>
    <t xml:space="preserve">ALLaM input tokens · 30K (demo queries + prompts)</t>
  </si>
  <si>
    <t xml:space="preserve">ALLaM output tokens · 20K</t>
  </si>
  <si>
    <t xml:space="preserve">— Buffer —</t>
  </si>
  <si>
    <t xml:space="preserve">Unplanned / re-run buffer</t>
  </si>
  <si>
    <t xml:space="preserve">flat</t>
  </si>
  <si>
    <t xml:space="preserve">flat $ in rate col</t>
  </si>
  <si>
    <t xml:space="preserve">GROUND ZERO AZURE SPEND TOTAL</t>
  </si>
  <si>
    <t xml:space="preserve">NFR-04 budget ceiling</t>
  </si>
  <si>
    <t xml:space="preserve">Headroom vs NFR-04</t>
  </si>
  <si>
    <t xml:space="preserve">Sheet · Pricing Reference (inputs · sources cited)</t>
  </si>
  <si>
    <t xml:space="preserve">Service</t>
  </si>
  <si>
    <t xml:space="preserve">Source</t>
  </si>
  <si>
    <t xml:space="preserve">Cited</t>
  </si>
  <si>
    <t xml:space="preserve">GPT-4o-mini · input</t>
  </si>
  <si>
    <t xml:space="preserve">per 1M tokens</t>
  </si>
  <si>
    <t xml:space="preserve">Azure OpenAI pricing</t>
  </si>
  <si>
    <t xml:space="preserve">2026-04</t>
  </si>
  <si>
    <t xml:space="preserve">GPT-4o-mini · output</t>
  </si>
  <si>
    <t xml:space="preserve">GPT-4o · input</t>
  </si>
  <si>
    <t xml:space="preserve">GPT-4o · output</t>
  </si>
  <si>
    <t xml:space="preserve">text-embedding-3-small</t>
  </si>
  <si>
    <t xml:space="preserve">Container Apps · vCPU-second</t>
  </si>
  <si>
    <t xml:space="preserve">per vCPU-second</t>
  </si>
  <si>
    <t xml:space="preserve">Azure Container Apps pricing</t>
  </si>
  <si>
    <t xml:space="preserve">Container Apps · GiB-second</t>
  </si>
  <si>
    <t xml:space="preserve">per GiB-second</t>
  </si>
  <si>
    <t xml:space="preserve">AI Search Free tier</t>
  </si>
  <si>
    <t xml:space="preserve">per month</t>
  </si>
  <si>
    <t xml:space="preserve">Azure AI Search · 50MB · 3 indexes free</t>
  </si>
  <si>
    <t xml:space="preserve">AI Search Basic (not used)</t>
  </si>
  <si>
    <t xml:space="preserve">Azure AI Search · reference only</t>
  </si>
  <si>
    <t xml:space="preserve">Fine-tune Online Endpoint</t>
  </si>
  <si>
    <t xml:space="preserve">per hour</t>
  </si>
  <si>
    <t xml:space="preserve">Azure OpenAI fine-tuning hosting</t>
  </si>
  <si>
    <t xml:space="preserve">Azure ML NC6 GPU (low-cost)</t>
  </si>
  <si>
    <t xml:space="preserve">Azure ML compute · spot / low SKU</t>
  </si>
  <si>
    <t xml:space="preserve">Document Intelligence S0</t>
  </si>
  <si>
    <t xml:space="preserve">per 1000 pages</t>
  </si>
  <si>
    <t xml:space="preserve">Azure AI Document Intelligence</t>
  </si>
  <si>
    <t xml:space="preserve">Data egress (&gt;100GB free)</t>
  </si>
  <si>
    <t xml:space="preserve">per GB</t>
  </si>
  <si>
    <t xml:space="preserve">Azure bandwidth pricing</t>
  </si>
  <si>
    <t xml:space="preserve">Cosmos DB (1000 RU free)</t>
  </si>
  <si>
    <t xml:space="preserve">Azure Cosmos always-free</t>
  </si>
  <si>
    <t xml:space="preserve">Azure Blob (&lt;5GB free)</t>
  </si>
  <si>
    <t xml:space="preserve">Azure 12-mo free</t>
  </si>
  <si>
    <t xml:space="preserve">Azure SQL (&lt;250GB free)</t>
  </si>
  <si>
    <t xml:space="preserve">Content Safety F0</t>
  </si>
  <si>
    <t xml:space="preserve">per 5K txns</t>
  </si>
  <si>
    <t xml:space="preserve">Azure free tier</t>
  </si>
  <si>
    <t xml:space="preserve">Key Vault · standard ops</t>
  </si>
  <si>
    <t xml:space="preserve">per 10K ops</t>
  </si>
  <si>
    <t xml:space="preserve">Azure Key Vault pricing</t>
  </si>
  <si>
    <t xml:space="preserve">Container Registry Basic</t>
  </si>
  <si>
    <t xml:space="preserve">Azure Container Registry Basic</t>
  </si>
  <si>
    <t xml:space="preserve">ALLaM managed endpoint</t>
  </si>
  <si>
    <t xml:space="preserve">per hour (deploy)</t>
  </si>
  <si>
    <t xml:space="preserve">Azure AI Foundry · est · verify activate</t>
  </si>
  <si>
    <t xml:space="preserve">ALLaM · input</t>
  </si>
  <si>
    <t xml:space="preserve">Azure AI Foundry · est · 7B model</t>
  </si>
  <si>
    <t xml:space="preserve">ALLaM · output</t>
  </si>
  <si>
    <t xml:space="preserve">Convention · BLUE = input · BLACK = formula · GREEN = cross-sheet link</t>
  </si>
  <si>
    <t xml:space="preserve">Sheet · Wave Schedule · when each cost incurs</t>
  </si>
  <si>
    <t xml:space="preserve">Azure activates Wave 4 only · prior waves on local + free-tier</t>
  </si>
  <si>
    <t xml:space="preserve">Days</t>
  </si>
  <si>
    <t xml:space="preserve">Activities</t>
  </si>
  <si>
    <t xml:space="preserve">Azure state</t>
  </si>
  <si>
    <t xml:space="preserve">Spend ($)</t>
  </si>
  <si>
    <t xml:space="preserve">1-5</t>
  </si>
  <si>
    <t xml:space="preserve">Blocks A + B (parallel) · Platform + Runtime scaffold</t>
  </si>
  <si>
    <t xml:space="preserve">Not activated</t>
  </si>
  <si>
    <t xml:space="preserve">6-10</t>
  </si>
  <si>
    <t xml:space="preserve">Blocks C + D (parallel) · Pipeline + PCP</t>
  </si>
  <si>
    <t xml:space="preserve">11-14</t>
  </si>
  <si>
    <t xml:space="preserve">Block E · Hello AI build · Docker Compose + Ollama local</t>
  </si>
  <si>
    <t xml:space="preserve">15-18</t>
  </si>
  <si>
    <t xml:space="preserve">Azure ACTIVATED · validation · tests · tear-down proof</t>
  </si>
  <si>
    <t xml:space="preserve">ACTIVATED</t>
  </si>
  <si>
    <t xml:space="preserve">19-21</t>
  </si>
  <si>
    <t xml:space="preserve">Editorial HTML polish · runbook · close-out · Charter #1 handoff</t>
  </si>
  <si>
    <t xml:space="preserve">Post-teardown</t>
  </si>
  <si>
    <t xml:space="preserve">TOTAL GROUND ZERO SPEND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</si>
</sst>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[RED]&quot;($&quot;#,##0\);\-"/>
    <numFmt numFmtId="166" formatCode="0.0%;[RED]\(0.0%\);\-"/>
    <numFmt numFmtId="167" formatCode="\$#,##0.00;[RED]&quot;($&quot;#,##0.00\);\-"/>
    <numFmt numFmtId="168" formatCode="#,##0.00;[RED]\(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D3B52"/>
      <name val="Arial"/>
      <family val="0"/>
      <charset val="1"/>
    </font>
    <font>
      <i val="true"/>
      <sz val="11"/>
      <color rgb="FF6B6559"/>
      <name val="Arial"/>
      <family val="0"/>
      <charset val="1"/>
    </font>
    <font>
      <b val="true"/>
      <sz val="12"/>
      <color rgb="FF0D3B5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0D3B52"/>
      <name val="Arial"/>
      <family val="0"/>
      <charset val="1"/>
    </font>
    <font>
      <b val="true"/>
      <sz val="14"/>
      <color rgb="FF0D3B52"/>
      <name val="Arial"/>
      <family val="0"/>
      <charset val="1"/>
    </font>
    <font>
      <b val="true"/>
      <sz val="11"/>
      <color rgb="FFB35C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D3B52"/>
        <bgColor rgb="FF333333"/>
      </patternFill>
    </fill>
    <fill>
      <patternFill patternType="solid">
        <fgColor rgb="FFF3E6D2"/>
        <bgColor rgb="FFEFEADC"/>
      </patternFill>
    </fill>
    <fill>
      <patternFill patternType="solid">
        <fgColor rgb="FFEFEADC"/>
        <bgColor rgb="FFF3E6D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1BD"/>
      </left>
      <right style="thin">
        <color rgb="FFD8D1BD"/>
      </right>
      <top style="thin">
        <color rgb="FFD8D1BD"/>
      </top>
      <bottom style="thin">
        <color rgb="FFD8D1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1BD"/>
      <rgbColor rgb="FF808080"/>
      <rgbColor rgb="FF9999FF"/>
      <rgbColor rgb="FF993366"/>
      <rgbColor rgb="FFEFEA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E6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559"/>
      <rgbColor rgb="FF969696"/>
      <rgbColor rgb="FF0D3B52"/>
      <rgbColor rgb="FF339966"/>
      <rgbColor rgb="FF003300"/>
      <rgbColor rgb="FF333300"/>
      <rgbColor rgb="FFB35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50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200</v>
      </c>
      <c r="C6" s="7" t="n">
        <f aca="false">B6/B6</f>
        <v>1</v>
      </c>
      <c r="D6" s="5" t="s">
        <v>8</v>
      </c>
    </row>
    <row r="7" customFormat="false" ht="15" hidden="false" customHeight="false" outlineLevel="0" collapsed="false">
      <c r="A7" s="5" t="s">
        <v>9</v>
      </c>
      <c r="B7" s="8" t="n">
        <f aca="false">'Azure Spend Detail'!F34</f>
        <v>21.1574666666667</v>
      </c>
      <c r="C7" s="7" t="n">
        <f aca="false">B7/B6</f>
        <v>0.105787333333333</v>
      </c>
      <c r="D7" s="5" t="s">
        <v>10</v>
      </c>
    </row>
    <row r="8" customFormat="false" ht="15" hidden="false" customHeight="false" outlineLevel="0" collapsed="false">
      <c r="A8" s="5" t="s">
        <v>11</v>
      </c>
      <c r="B8" s="9" t="n">
        <f aca="false">B6-B7</f>
        <v>178.842533333333</v>
      </c>
      <c r="C8" s="7" t="n">
        <f aca="false">B8/B6</f>
        <v>0.894212666666667</v>
      </c>
      <c r="D8" s="5" t="s">
        <v>12</v>
      </c>
    </row>
    <row r="9" customFormat="false" ht="15" hidden="false" customHeight="false" outlineLevel="0" collapsed="false">
      <c r="A9" s="10" t="s">
        <v>13</v>
      </c>
      <c r="B9" s="11" t="n">
        <f aca="false">B7+B8</f>
        <v>200</v>
      </c>
      <c r="C9" s="12" t="n">
        <f aca="false">B9/B6</f>
        <v>1</v>
      </c>
      <c r="D9" s="10" t="s">
        <v>14</v>
      </c>
    </row>
    <row r="11" customFormat="false" ht="15" hidden="false" customHeight="false" outlineLevel="0" collapsed="false">
      <c r="A11" s="3" t="s">
        <v>15</v>
      </c>
    </row>
    <row r="12" customFormat="false" ht="15" hidden="false" customHeight="false" outlineLevel="0" collapsed="false">
      <c r="A12" s="4" t="s">
        <v>16</v>
      </c>
      <c r="B12" s="4" t="s">
        <v>17</v>
      </c>
      <c r="C12" s="4" t="s">
        <v>18</v>
      </c>
      <c r="D12" s="4" t="s">
        <v>6</v>
      </c>
    </row>
    <row r="13" customFormat="false" ht="15" hidden="false" customHeight="false" outlineLevel="0" collapsed="false">
      <c r="A13" s="5" t="s">
        <v>19</v>
      </c>
      <c r="B13" s="6" t="n">
        <v>25</v>
      </c>
      <c r="C13" s="13" t="str">
        <f aca="false">IF(B7&lt;=B13,"PASS","FAIL")</f>
        <v>PASS</v>
      </c>
      <c r="D13" s="5" t="s">
        <v>20</v>
      </c>
    </row>
    <row r="15" customFormat="false" ht="15" hidden="false" customHeight="false" outlineLevel="0" collapsed="false">
      <c r="A15" s="3" t="s">
        <v>21</v>
      </c>
    </row>
    <row r="16" customFormat="false" ht="15" hidden="false" customHeight="false" outlineLevel="0" collapsed="false">
      <c r="A16" s="4" t="s">
        <v>22</v>
      </c>
      <c r="B16" s="4" t="s">
        <v>23</v>
      </c>
      <c r="C16" s="4" t="s">
        <v>24</v>
      </c>
      <c r="D16" s="4" t="s">
        <v>25</v>
      </c>
    </row>
    <row r="17" customFormat="false" ht="15" hidden="false" customHeight="false" outlineLevel="0" collapsed="false">
      <c r="A17" s="13" t="s">
        <v>26</v>
      </c>
      <c r="B17" s="13" t="s">
        <v>27</v>
      </c>
      <c r="C17" s="13" t="s">
        <v>28</v>
      </c>
      <c r="D17" s="14" t="n">
        <v>0</v>
      </c>
    </row>
    <row r="18" customFormat="false" ht="15" hidden="false" customHeight="false" outlineLevel="0" collapsed="false">
      <c r="A18" s="13" t="s">
        <v>29</v>
      </c>
      <c r="B18" s="13" t="s">
        <v>27</v>
      </c>
      <c r="C18" s="13" t="s">
        <v>30</v>
      </c>
      <c r="D18" s="14" t="n">
        <v>0</v>
      </c>
    </row>
    <row r="19" customFormat="false" ht="15" hidden="false" customHeight="false" outlineLevel="0" collapsed="false">
      <c r="A19" s="13" t="s">
        <v>31</v>
      </c>
      <c r="B19" s="13" t="s">
        <v>32</v>
      </c>
      <c r="C19" s="13" t="s">
        <v>33</v>
      </c>
      <c r="D19" s="14" t="n">
        <v>0</v>
      </c>
    </row>
    <row r="20" customFormat="false" ht="15" hidden="false" customHeight="false" outlineLevel="0" collapsed="false">
      <c r="A20" s="13" t="s">
        <v>34</v>
      </c>
      <c r="B20" s="13" t="s">
        <v>32</v>
      </c>
      <c r="C20" s="13" t="s">
        <v>35</v>
      </c>
      <c r="D20" s="14" t="n">
        <v>0</v>
      </c>
    </row>
    <row r="21" customFormat="false" ht="15" hidden="false" customHeight="false" outlineLevel="0" collapsed="false">
      <c r="A21" s="13" t="s">
        <v>36</v>
      </c>
      <c r="B21" s="13" t="s">
        <v>37</v>
      </c>
      <c r="C21" s="13" t="s">
        <v>38</v>
      </c>
      <c r="D21" s="14" t="n">
        <v>0</v>
      </c>
    </row>
    <row r="22" customFormat="false" ht="15" hidden="false" customHeight="false" outlineLevel="0" collapsed="false">
      <c r="A22" s="13" t="s">
        <v>39</v>
      </c>
      <c r="B22" s="13" t="s">
        <v>40</v>
      </c>
      <c r="C22" s="13" t="s">
        <v>41</v>
      </c>
      <c r="D22" s="8" t="n">
        <f aca="false">'Azure Spend Detail'!F34</f>
        <v>21.1574666666667</v>
      </c>
    </row>
    <row r="23" customFormat="false" ht="15" hidden="false" customHeight="false" outlineLevel="0" collapsed="false">
      <c r="A23" s="13" t="s">
        <v>42</v>
      </c>
      <c r="B23" s="13" t="s">
        <v>43</v>
      </c>
      <c r="C23" s="13" t="s">
        <v>44</v>
      </c>
      <c r="D23" s="14" t="n">
        <v>0</v>
      </c>
    </row>
    <row r="24" customFormat="false" ht="15" hidden="false" customHeight="false" outlineLevel="0" collapsed="false">
      <c r="A24" s="10" t="s">
        <v>45</v>
      </c>
      <c r="B24" s="10"/>
      <c r="C24" s="10"/>
      <c r="D24" s="11" t="n">
        <f aca="false">SUM(D17:D23)</f>
        <v>21.1574666666667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5" t="s">
        <v>46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2" t="s">
        <v>47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48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53</v>
      </c>
    </row>
    <row r="5" customFormat="false" ht="15" hidden="false" customHeight="false" outlineLevel="0" collapsed="false">
      <c r="A5" s="16" t="s">
        <v>54</v>
      </c>
      <c r="B5" s="16"/>
      <c r="C5" s="16"/>
      <c r="D5" s="16"/>
      <c r="E5" s="16"/>
      <c r="F5" s="16"/>
    </row>
    <row r="6" customFormat="false" ht="15" hidden="false" customHeight="false" outlineLevel="0" collapsed="false">
      <c r="A6" s="13" t="s">
        <v>55</v>
      </c>
      <c r="B6" s="17" t="n">
        <v>10</v>
      </c>
      <c r="C6" s="13" t="s">
        <v>56</v>
      </c>
      <c r="D6" s="18" t="n">
        <f aca="false">'Pricing Reference'!C5</f>
        <v>0.15</v>
      </c>
      <c r="E6" s="13" t="s">
        <v>57</v>
      </c>
      <c r="F6" s="9" t="n">
        <f aca="false">B6*D6</f>
        <v>1.5</v>
      </c>
    </row>
    <row r="7" customFormat="false" ht="15" hidden="false" customHeight="false" outlineLevel="0" collapsed="false">
      <c r="A7" s="13" t="s">
        <v>58</v>
      </c>
      <c r="B7" s="17" t="n">
        <v>4</v>
      </c>
      <c r="C7" s="13" t="s">
        <v>56</v>
      </c>
      <c r="D7" s="18" t="n">
        <f aca="false">'Pricing Reference'!C6</f>
        <v>0.6</v>
      </c>
      <c r="E7" s="13" t="s">
        <v>57</v>
      </c>
      <c r="F7" s="9" t="n">
        <f aca="false">B7*D7</f>
        <v>2.4</v>
      </c>
    </row>
    <row r="8" customFormat="false" ht="15" hidden="false" customHeight="false" outlineLevel="0" collapsed="false">
      <c r="A8" s="13" t="s">
        <v>59</v>
      </c>
      <c r="B8" s="17" t="n">
        <v>15</v>
      </c>
      <c r="C8" s="13" t="s">
        <v>56</v>
      </c>
      <c r="D8" s="18" t="n">
        <f aca="false">'Pricing Reference'!C9</f>
        <v>0.022</v>
      </c>
      <c r="E8" s="13" t="s">
        <v>57</v>
      </c>
      <c r="F8" s="9" t="n">
        <f aca="false">B8*D8</f>
        <v>0.33</v>
      </c>
    </row>
    <row r="9" customFormat="false" ht="15" hidden="false" customHeight="false" outlineLevel="0" collapsed="false">
      <c r="A9" s="13" t="s">
        <v>60</v>
      </c>
      <c r="B9" s="17" t="n">
        <v>0.5</v>
      </c>
      <c r="C9" s="13" t="s">
        <v>56</v>
      </c>
      <c r="D9" s="18" t="n">
        <f aca="false">'Pricing Reference'!C7</f>
        <v>2.5</v>
      </c>
      <c r="E9" s="13" t="s">
        <v>57</v>
      </c>
      <c r="F9" s="9" t="n">
        <f aca="false">B9*D9</f>
        <v>1.25</v>
      </c>
    </row>
    <row r="10" customFormat="false" ht="15" hidden="false" customHeight="false" outlineLevel="0" collapsed="false">
      <c r="A10" s="13" t="s">
        <v>61</v>
      </c>
      <c r="B10" s="17" t="n">
        <v>0.1</v>
      </c>
      <c r="C10" s="13" t="s">
        <v>56</v>
      </c>
      <c r="D10" s="18" t="n">
        <f aca="false">'Pricing Reference'!C8</f>
        <v>10</v>
      </c>
      <c r="E10" s="13" t="s">
        <v>57</v>
      </c>
      <c r="F10" s="9" t="n">
        <f aca="false">B10*D10</f>
        <v>1</v>
      </c>
    </row>
    <row r="11" customFormat="false" ht="15" hidden="false" customHeight="false" outlineLevel="0" collapsed="false">
      <c r="A11" s="16" t="s">
        <v>62</v>
      </c>
      <c r="B11" s="16"/>
      <c r="C11" s="16"/>
      <c r="D11" s="16"/>
      <c r="E11" s="16"/>
      <c r="F11" s="16"/>
    </row>
    <row r="12" customFormat="false" ht="15" hidden="false" customHeight="false" outlineLevel="0" collapsed="false">
      <c r="A12" s="13" t="s">
        <v>63</v>
      </c>
      <c r="B12" s="17" t="n">
        <v>77760</v>
      </c>
      <c r="C12" s="13" t="s">
        <v>64</v>
      </c>
      <c r="D12" s="18" t="n">
        <f aca="false">'Pricing Reference'!C10</f>
        <v>2.4E-005</v>
      </c>
      <c r="E12" s="13" t="s">
        <v>65</v>
      </c>
      <c r="F12" s="9" t="n">
        <f aca="false">B12*D12</f>
        <v>1.86624</v>
      </c>
    </row>
    <row r="13" customFormat="false" ht="15" hidden="false" customHeight="false" outlineLevel="0" collapsed="false">
      <c r="A13" s="13" t="s">
        <v>66</v>
      </c>
      <c r="B13" s="17" t="n">
        <v>155520</v>
      </c>
      <c r="C13" s="13" t="s">
        <v>67</v>
      </c>
      <c r="D13" s="18" t="n">
        <f aca="false">'Pricing Reference'!C11</f>
        <v>3E-006</v>
      </c>
      <c r="E13" s="13" t="s">
        <v>68</v>
      </c>
      <c r="F13" s="9" t="n">
        <f aca="false">B13*D13</f>
        <v>0.46656</v>
      </c>
    </row>
    <row r="14" customFormat="false" ht="15" hidden="false" customHeight="false" outlineLevel="0" collapsed="false">
      <c r="A14" s="16" t="s">
        <v>69</v>
      </c>
      <c r="B14" s="16"/>
      <c r="C14" s="16"/>
      <c r="D14" s="16"/>
      <c r="E14" s="16"/>
      <c r="F14" s="16"/>
    </row>
    <row r="15" customFormat="false" ht="15" hidden="false" customHeight="false" outlineLevel="0" collapsed="false">
      <c r="A15" s="13" t="s">
        <v>70</v>
      </c>
      <c r="B15" s="17" t="n">
        <v>2</v>
      </c>
      <c r="C15" s="13" t="s">
        <v>71</v>
      </c>
      <c r="D15" s="18" t="n">
        <f aca="false">'Pricing Reference'!C15</f>
        <v>0.9</v>
      </c>
      <c r="E15" s="13" t="s">
        <v>57</v>
      </c>
      <c r="F15" s="9" t="n">
        <f aca="false">B15*D15</f>
        <v>1.8</v>
      </c>
    </row>
    <row r="16" customFormat="false" ht="15" hidden="false" customHeight="false" outlineLevel="0" collapsed="false">
      <c r="A16" s="13" t="s">
        <v>72</v>
      </c>
      <c r="B16" s="17" t="n">
        <v>1</v>
      </c>
      <c r="C16" s="13" t="s">
        <v>71</v>
      </c>
      <c r="D16" s="18" t="n">
        <f aca="false">'Pricing Reference'!C14</f>
        <v>1.7</v>
      </c>
      <c r="E16" s="13" t="s">
        <v>57</v>
      </c>
      <c r="F16" s="9" t="n">
        <f aca="false">B16*D16</f>
        <v>1.7</v>
      </c>
    </row>
    <row r="17" customFormat="false" ht="15" hidden="false" customHeight="false" outlineLevel="0" collapsed="false">
      <c r="A17" s="16" t="s">
        <v>73</v>
      </c>
      <c r="B17" s="16"/>
      <c r="C17" s="16"/>
      <c r="D17" s="16"/>
      <c r="E17" s="16"/>
      <c r="F17" s="16"/>
    </row>
    <row r="18" customFormat="false" ht="15" hidden="false" customHeight="false" outlineLevel="0" collapsed="false">
      <c r="A18" s="13" t="s">
        <v>74</v>
      </c>
      <c r="B18" s="17" t="n">
        <v>1</v>
      </c>
      <c r="C18" s="13" t="s">
        <v>75</v>
      </c>
      <c r="D18" s="18" t="n">
        <f aca="false">'Pricing Reference'!C12</f>
        <v>0</v>
      </c>
      <c r="E18" s="13" t="s">
        <v>76</v>
      </c>
      <c r="F18" s="9" t="n">
        <f aca="false">B18*D18</f>
        <v>0</v>
      </c>
    </row>
    <row r="19" customFormat="false" ht="15" hidden="false" customHeight="false" outlineLevel="0" collapsed="false">
      <c r="A19" s="13" t="s">
        <v>77</v>
      </c>
      <c r="B19" s="17" t="n">
        <v>1</v>
      </c>
      <c r="C19" s="13" t="s">
        <v>75</v>
      </c>
      <c r="D19" s="18" t="n">
        <f aca="false">'Pricing Reference'!C18</f>
        <v>0</v>
      </c>
      <c r="E19" s="13" t="s">
        <v>78</v>
      </c>
      <c r="F19" s="9" t="n">
        <f aca="false">B19*D19</f>
        <v>0</v>
      </c>
    </row>
    <row r="20" customFormat="false" ht="15" hidden="false" customHeight="false" outlineLevel="0" collapsed="false">
      <c r="A20" s="13" t="s">
        <v>79</v>
      </c>
      <c r="B20" s="17" t="n">
        <v>1</v>
      </c>
      <c r="C20" s="13" t="s">
        <v>75</v>
      </c>
      <c r="D20" s="18" t="n">
        <f aca="false">'Pricing Reference'!C19</f>
        <v>0</v>
      </c>
      <c r="E20" s="13" t="s">
        <v>80</v>
      </c>
      <c r="F20" s="9" t="n">
        <f aca="false">B20*D20</f>
        <v>0</v>
      </c>
    </row>
    <row r="21" customFormat="false" ht="15" hidden="false" customHeight="false" outlineLevel="0" collapsed="false">
      <c r="A21" s="13" t="s">
        <v>81</v>
      </c>
      <c r="B21" s="17" t="n">
        <v>1</v>
      </c>
      <c r="C21" s="13" t="s">
        <v>75</v>
      </c>
      <c r="D21" s="18" t="n">
        <f aca="false">'Pricing Reference'!C21</f>
        <v>0</v>
      </c>
      <c r="E21" s="13" t="s">
        <v>82</v>
      </c>
      <c r="F21" s="9" t="n">
        <f aca="false">B21*D21</f>
        <v>0</v>
      </c>
    </row>
    <row r="22" customFormat="false" ht="15" hidden="false" customHeight="false" outlineLevel="0" collapsed="false">
      <c r="A22" s="13" t="s">
        <v>83</v>
      </c>
      <c r="B22" s="17" t="n">
        <v>0</v>
      </c>
      <c r="C22" s="13" t="s">
        <v>84</v>
      </c>
      <c r="D22" s="18" t="n">
        <f aca="false">'Pricing Reference'!C16</f>
        <v>1.5</v>
      </c>
      <c r="E22" s="13" t="s">
        <v>85</v>
      </c>
      <c r="F22" s="9" t="n">
        <f aca="false">B22*D22</f>
        <v>0</v>
      </c>
    </row>
    <row r="23" customFormat="false" ht="15" hidden="false" customHeight="false" outlineLevel="0" collapsed="false">
      <c r="A23" s="13" t="s">
        <v>86</v>
      </c>
      <c r="B23" s="17" t="n">
        <v>0</v>
      </c>
      <c r="C23" s="13" t="s">
        <v>87</v>
      </c>
      <c r="D23" s="18" t="n">
        <f aca="false">'Pricing Reference'!C17</f>
        <v>0.087</v>
      </c>
      <c r="E23" s="13" t="s">
        <v>85</v>
      </c>
      <c r="F23" s="9" t="n">
        <f aca="false">B23*D23</f>
        <v>0</v>
      </c>
    </row>
    <row r="24" customFormat="false" ht="15" hidden="false" customHeight="false" outlineLevel="0" collapsed="false">
      <c r="A24" s="16" t="s">
        <v>88</v>
      </c>
      <c r="B24" s="16"/>
      <c r="C24" s="16"/>
      <c r="D24" s="16"/>
      <c r="E24" s="16"/>
      <c r="F24" s="16"/>
    </row>
    <row r="25" customFormat="false" ht="15" hidden="false" customHeight="false" outlineLevel="0" collapsed="false">
      <c r="A25" s="13" t="s">
        <v>89</v>
      </c>
      <c r="B25" s="17" t="n">
        <v>5</v>
      </c>
      <c r="C25" s="13" t="s">
        <v>90</v>
      </c>
      <c r="D25" s="18" t="n">
        <f aca="false">'Pricing Reference'!C22</f>
        <v>0.03</v>
      </c>
      <c r="E25" s="13" t="s">
        <v>57</v>
      </c>
      <c r="F25" s="9" t="n">
        <f aca="false">B25*D25</f>
        <v>0.15</v>
      </c>
    </row>
    <row r="26" customFormat="false" ht="15" hidden="false" customHeight="false" outlineLevel="0" collapsed="false">
      <c r="A26" s="13" t="s">
        <v>91</v>
      </c>
      <c r="B26" s="17" t="n">
        <v>0.233333333333333</v>
      </c>
      <c r="C26" s="13" t="s">
        <v>75</v>
      </c>
      <c r="D26" s="18" t="n">
        <f aca="false">'Pricing Reference'!C23</f>
        <v>5</v>
      </c>
      <c r="E26" s="13" t="s">
        <v>57</v>
      </c>
      <c r="F26" s="9" t="n">
        <f aca="false">B26*D26</f>
        <v>1.16666666666667</v>
      </c>
    </row>
    <row r="27" customFormat="false" ht="15" hidden="false" customHeight="false" outlineLevel="0" collapsed="false">
      <c r="A27" s="16" t="s">
        <v>92</v>
      </c>
      <c r="B27" s="16"/>
      <c r="C27" s="16"/>
      <c r="D27" s="16"/>
      <c r="E27" s="16"/>
      <c r="F27" s="16"/>
    </row>
    <row r="28" customFormat="false" ht="15" hidden="false" customHeight="false" outlineLevel="0" collapsed="false">
      <c r="A28" s="13" t="s">
        <v>93</v>
      </c>
      <c r="B28" s="17" t="n">
        <v>1</v>
      </c>
      <c r="C28" s="13" t="s">
        <v>71</v>
      </c>
      <c r="D28" s="18" t="n">
        <f aca="false">'Pricing Reference'!C24</f>
        <v>1.5</v>
      </c>
      <c r="E28" s="13" t="s">
        <v>57</v>
      </c>
      <c r="F28" s="9" t="n">
        <f aca="false">B28*D28</f>
        <v>1.5</v>
      </c>
    </row>
    <row r="29" customFormat="false" ht="15" hidden="false" customHeight="false" outlineLevel="0" collapsed="false">
      <c r="A29" s="13" t="s">
        <v>94</v>
      </c>
      <c r="B29" s="17" t="n">
        <v>0.03</v>
      </c>
      <c r="C29" s="13" t="s">
        <v>56</v>
      </c>
      <c r="D29" s="18" t="n">
        <f aca="false">'Pricing Reference'!C25</f>
        <v>0.4</v>
      </c>
      <c r="E29" s="13" t="s">
        <v>57</v>
      </c>
      <c r="F29" s="9" t="n">
        <f aca="false">B29*D29</f>
        <v>0.012</v>
      </c>
    </row>
    <row r="30" customFormat="false" ht="15" hidden="false" customHeight="false" outlineLevel="0" collapsed="false">
      <c r="A30" s="13" t="s">
        <v>95</v>
      </c>
      <c r="B30" s="17" t="n">
        <v>0.02</v>
      </c>
      <c r="C30" s="13" t="s">
        <v>56</v>
      </c>
      <c r="D30" s="18" t="n">
        <f aca="false">'Pricing Reference'!C26</f>
        <v>0.8</v>
      </c>
      <c r="E30" s="13" t="s">
        <v>57</v>
      </c>
      <c r="F30" s="9" t="n">
        <f aca="false">B30*D30</f>
        <v>0.016</v>
      </c>
    </row>
    <row r="31" customFormat="false" ht="15" hidden="false" customHeight="false" outlineLevel="0" collapsed="false">
      <c r="A31" s="16" t="s">
        <v>96</v>
      </c>
      <c r="B31" s="16"/>
      <c r="C31" s="16"/>
      <c r="D31" s="16"/>
      <c r="E31" s="16"/>
      <c r="F31" s="16"/>
    </row>
    <row r="32" customFormat="false" ht="15" hidden="false" customHeight="false" outlineLevel="0" collapsed="false">
      <c r="A32" s="13" t="s">
        <v>97</v>
      </c>
      <c r="B32" s="17" t="n">
        <v>1</v>
      </c>
      <c r="C32" s="13" t="s">
        <v>98</v>
      </c>
      <c r="D32" s="17" t="n">
        <v>6</v>
      </c>
      <c r="E32" s="13" t="s">
        <v>99</v>
      </c>
      <c r="F32" s="9" t="n">
        <f aca="false">B32*D32</f>
        <v>6</v>
      </c>
    </row>
    <row r="34" customFormat="false" ht="15" hidden="false" customHeight="false" outlineLevel="0" collapsed="false">
      <c r="A34" s="10" t="s">
        <v>100</v>
      </c>
      <c r="B34" s="10"/>
      <c r="C34" s="10"/>
      <c r="D34" s="10"/>
      <c r="E34" s="10"/>
      <c r="F34" s="11" t="n">
        <f aca="false">SUM(F5:F32)</f>
        <v>21.1574666666667</v>
      </c>
    </row>
    <row r="35" customFormat="false" ht="15" hidden="false" customHeight="false" outlineLevel="0" collapsed="false">
      <c r="A35" s="5" t="s">
        <v>101</v>
      </c>
      <c r="B35" s="5"/>
      <c r="C35" s="5"/>
      <c r="D35" s="5"/>
      <c r="E35" s="5"/>
      <c r="F35" s="6" t="n">
        <v>25</v>
      </c>
    </row>
    <row r="36" customFormat="false" ht="15" hidden="false" customHeight="false" outlineLevel="0" collapsed="false">
      <c r="A36" s="5" t="s">
        <v>102</v>
      </c>
      <c r="B36" s="5"/>
      <c r="C36" s="5"/>
      <c r="D36" s="5"/>
      <c r="E36" s="5"/>
      <c r="F36" s="19" t="n">
        <f aca="false">F35-F34</f>
        <v>3.84253333333334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20" t="s">
        <v>0</v>
      </c>
      <c r="B1" s="20"/>
      <c r="C1" s="20"/>
      <c r="D1" s="20"/>
      <c r="E1" s="20"/>
    </row>
    <row r="2" customFormat="false" ht="15" hidden="false" customHeight="false" outlineLevel="0" collapsed="false">
      <c r="A2" s="2" t="s">
        <v>103</v>
      </c>
      <c r="B2" s="2"/>
      <c r="C2" s="2"/>
      <c r="D2" s="2"/>
      <c r="E2" s="2"/>
    </row>
    <row r="4" customFormat="false" ht="15" hidden="false" customHeight="false" outlineLevel="0" collapsed="false">
      <c r="A4" s="4" t="s">
        <v>104</v>
      </c>
      <c r="B4" s="4" t="s">
        <v>50</v>
      </c>
      <c r="C4" s="4" t="s">
        <v>51</v>
      </c>
      <c r="D4" s="4" t="s">
        <v>105</v>
      </c>
      <c r="E4" s="4" t="s">
        <v>106</v>
      </c>
    </row>
    <row r="5" customFormat="false" ht="15" hidden="false" customHeight="false" outlineLevel="0" collapsed="false">
      <c r="A5" s="13" t="s">
        <v>107</v>
      </c>
      <c r="B5" s="13" t="s">
        <v>108</v>
      </c>
      <c r="C5" s="17" t="n">
        <v>0.15</v>
      </c>
      <c r="D5" s="13" t="s">
        <v>109</v>
      </c>
      <c r="E5" s="13" t="s">
        <v>110</v>
      </c>
    </row>
    <row r="6" customFormat="false" ht="15" hidden="false" customHeight="false" outlineLevel="0" collapsed="false">
      <c r="A6" s="13" t="s">
        <v>111</v>
      </c>
      <c r="B6" s="13" t="s">
        <v>108</v>
      </c>
      <c r="C6" s="17" t="n">
        <v>0.6</v>
      </c>
      <c r="D6" s="13" t="s">
        <v>109</v>
      </c>
      <c r="E6" s="13" t="s">
        <v>110</v>
      </c>
    </row>
    <row r="7" customFormat="false" ht="15" hidden="false" customHeight="false" outlineLevel="0" collapsed="false">
      <c r="A7" s="13" t="s">
        <v>112</v>
      </c>
      <c r="B7" s="13" t="s">
        <v>108</v>
      </c>
      <c r="C7" s="17" t="n">
        <v>2.5</v>
      </c>
      <c r="D7" s="13" t="s">
        <v>109</v>
      </c>
      <c r="E7" s="13" t="s">
        <v>110</v>
      </c>
    </row>
    <row r="8" customFormat="false" ht="15" hidden="false" customHeight="false" outlineLevel="0" collapsed="false">
      <c r="A8" s="13" t="s">
        <v>113</v>
      </c>
      <c r="B8" s="13" t="s">
        <v>108</v>
      </c>
      <c r="C8" s="17" t="n">
        <v>10</v>
      </c>
      <c r="D8" s="13" t="s">
        <v>109</v>
      </c>
      <c r="E8" s="13" t="s">
        <v>110</v>
      </c>
    </row>
    <row r="9" customFormat="false" ht="15" hidden="false" customHeight="false" outlineLevel="0" collapsed="false">
      <c r="A9" s="13" t="s">
        <v>114</v>
      </c>
      <c r="B9" s="13" t="s">
        <v>108</v>
      </c>
      <c r="C9" s="17" t="n">
        <v>0.022</v>
      </c>
      <c r="D9" s="13" t="s">
        <v>109</v>
      </c>
      <c r="E9" s="13" t="s">
        <v>110</v>
      </c>
    </row>
    <row r="10" customFormat="false" ht="15" hidden="false" customHeight="false" outlineLevel="0" collapsed="false">
      <c r="A10" s="13" t="s">
        <v>115</v>
      </c>
      <c r="B10" s="13" t="s">
        <v>116</v>
      </c>
      <c r="C10" s="17" t="n">
        <v>2.4E-005</v>
      </c>
      <c r="D10" s="13" t="s">
        <v>117</v>
      </c>
      <c r="E10" s="13" t="s">
        <v>110</v>
      </c>
    </row>
    <row r="11" customFormat="false" ht="15" hidden="false" customHeight="false" outlineLevel="0" collapsed="false">
      <c r="A11" s="13" t="s">
        <v>118</v>
      </c>
      <c r="B11" s="13" t="s">
        <v>119</v>
      </c>
      <c r="C11" s="17" t="n">
        <v>3E-006</v>
      </c>
      <c r="D11" s="13" t="s">
        <v>117</v>
      </c>
      <c r="E11" s="13" t="s">
        <v>110</v>
      </c>
    </row>
    <row r="12" customFormat="false" ht="15" hidden="false" customHeight="false" outlineLevel="0" collapsed="false">
      <c r="A12" s="13" t="s">
        <v>120</v>
      </c>
      <c r="B12" s="13" t="s">
        <v>121</v>
      </c>
      <c r="C12" s="17" t="n">
        <v>0</v>
      </c>
      <c r="D12" s="13" t="s">
        <v>122</v>
      </c>
      <c r="E12" s="13" t="s">
        <v>110</v>
      </c>
    </row>
    <row r="13" customFormat="false" ht="15" hidden="false" customHeight="false" outlineLevel="0" collapsed="false">
      <c r="A13" s="13" t="s">
        <v>123</v>
      </c>
      <c r="B13" s="13" t="s">
        <v>121</v>
      </c>
      <c r="C13" s="17" t="n">
        <v>75</v>
      </c>
      <c r="D13" s="13" t="s">
        <v>124</v>
      </c>
      <c r="E13" s="13" t="s">
        <v>110</v>
      </c>
    </row>
    <row r="14" customFormat="false" ht="15" hidden="false" customHeight="false" outlineLevel="0" collapsed="false">
      <c r="A14" s="13" t="s">
        <v>125</v>
      </c>
      <c r="B14" s="13" t="s">
        <v>126</v>
      </c>
      <c r="C14" s="17" t="n">
        <v>1.7</v>
      </c>
      <c r="D14" s="13" t="s">
        <v>127</v>
      </c>
      <c r="E14" s="13" t="s">
        <v>110</v>
      </c>
    </row>
    <row r="15" customFormat="false" ht="15" hidden="false" customHeight="false" outlineLevel="0" collapsed="false">
      <c r="A15" s="13" t="s">
        <v>128</v>
      </c>
      <c r="B15" s="13" t="s">
        <v>126</v>
      </c>
      <c r="C15" s="17" t="n">
        <v>0.9</v>
      </c>
      <c r="D15" s="13" t="s">
        <v>129</v>
      </c>
      <c r="E15" s="13" t="s">
        <v>110</v>
      </c>
    </row>
    <row r="16" customFormat="false" ht="15" hidden="false" customHeight="false" outlineLevel="0" collapsed="false">
      <c r="A16" s="13" t="s">
        <v>130</v>
      </c>
      <c r="B16" s="13" t="s">
        <v>131</v>
      </c>
      <c r="C16" s="17" t="n">
        <v>1.5</v>
      </c>
      <c r="D16" s="13" t="s">
        <v>132</v>
      </c>
      <c r="E16" s="13" t="s">
        <v>110</v>
      </c>
    </row>
    <row r="17" customFormat="false" ht="15" hidden="false" customHeight="false" outlineLevel="0" collapsed="false">
      <c r="A17" s="13" t="s">
        <v>133</v>
      </c>
      <c r="B17" s="13" t="s">
        <v>134</v>
      </c>
      <c r="C17" s="17" t="n">
        <v>0.087</v>
      </c>
      <c r="D17" s="13" t="s">
        <v>135</v>
      </c>
      <c r="E17" s="13" t="s">
        <v>110</v>
      </c>
    </row>
    <row r="18" customFormat="false" ht="15" hidden="false" customHeight="false" outlineLevel="0" collapsed="false">
      <c r="A18" s="13" t="s">
        <v>136</v>
      </c>
      <c r="B18" s="13" t="s">
        <v>121</v>
      </c>
      <c r="C18" s="17" t="n">
        <v>0</v>
      </c>
      <c r="D18" s="13" t="s">
        <v>137</v>
      </c>
      <c r="E18" s="13" t="s">
        <v>110</v>
      </c>
    </row>
    <row r="19" customFormat="false" ht="15" hidden="false" customHeight="false" outlineLevel="0" collapsed="false">
      <c r="A19" s="13" t="s">
        <v>138</v>
      </c>
      <c r="B19" s="13" t="s">
        <v>121</v>
      </c>
      <c r="C19" s="17" t="n">
        <v>0</v>
      </c>
      <c r="D19" s="13" t="s">
        <v>139</v>
      </c>
      <c r="E19" s="13" t="s">
        <v>110</v>
      </c>
    </row>
    <row r="20" customFormat="false" ht="15" hidden="false" customHeight="false" outlineLevel="0" collapsed="false">
      <c r="A20" s="13" t="s">
        <v>140</v>
      </c>
      <c r="B20" s="13" t="s">
        <v>121</v>
      </c>
      <c r="C20" s="17" t="n">
        <v>0</v>
      </c>
      <c r="D20" s="13" t="s">
        <v>139</v>
      </c>
      <c r="E20" s="13" t="s">
        <v>110</v>
      </c>
    </row>
    <row r="21" customFormat="false" ht="15" hidden="false" customHeight="false" outlineLevel="0" collapsed="false">
      <c r="A21" s="13" t="s">
        <v>141</v>
      </c>
      <c r="B21" s="13" t="s">
        <v>142</v>
      </c>
      <c r="C21" s="17" t="n">
        <v>0</v>
      </c>
      <c r="D21" s="13" t="s">
        <v>143</v>
      </c>
      <c r="E21" s="13" t="s">
        <v>110</v>
      </c>
    </row>
    <row r="22" customFormat="false" ht="15" hidden="false" customHeight="false" outlineLevel="0" collapsed="false">
      <c r="A22" s="13" t="s">
        <v>144</v>
      </c>
      <c r="B22" s="13" t="s">
        <v>145</v>
      </c>
      <c r="C22" s="17" t="n">
        <v>0.03</v>
      </c>
      <c r="D22" s="13" t="s">
        <v>146</v>
      </c>
      <c r="E22" s="13" t="s">
        <v>110</v>
      </c>
    </row>
    <row r="23" customFormat="false" ht="15" hidden="false" customHeight="false" outlineLevel="0" collapsed="false">
      <c r="A23" s="13" t="s">
        <v>147</v>
      </c>
      <c r="B23" s="13" t="s">
        <v>121</v>
      </c>
      <c r="C23" s="17" t="n">
        <v>5</v>
      </c>
      <c r="D23" s="13" t="s">
        <v>148</v>
      </c>
      <c r="E23" s="13" t="s">
        <v>110</v>
      </c>
    </row>
    <row r="24" customFormat="false" ht="15" hidden="false" customHeight="false" outlineLevel="0" collapsed="false">
      <c r="A24" s="13" t="s">
        <v>149</v>
      </c>
      <c r="B24" s="13" t="s">
        <v>150</v>
      </c>
      <c r="C24" s="17" t="n">
        <v>1.5</v>
      </c>
      <c r="D24" s="13" t="s">
        <v>151</v>
      </c>
      <c r="E24" s="13" t="s">
        <v>110</v>
      </c>
    </row>
    <row r="25" customFormat="false" ht="15" hidden="false" customHeight="false" outlineLevel="0" collapsed="false">
      <c r="A25" s="13" t="s">
        <v>152</v>
      </c>
      <c r="B25" s="13" t="s">
        <v>108</v>
      </c>
      <c r="C25" s="17" t="n">
        <v>0.4</v>
      </c>
      <c r="D25" s="13" t="s">
        <v>153</v>
      </c>
      <c r="E25" s="13" t="s">
        <v>110</v>
      </c>
    </row>
    <row r="26" customFormat="false" ht="15" hidden="false" customHeight="false" outlineLevel="0" collapsed="false">
      <c r="A26" s="13" t="s">
        <v>154</v>
      </c>
      <c r="B26" s="13" t="s">
        <v>108</v>
      </c>
      <c r="C26" s="17" t="n">
        <v>0.8</v>
      </c>
      <c r="D26" s="13" t="s">
        <v>153</v>
      </c>
      <c r="E26" s="13" t="s">
        <v>110</v>
      </c>
    </row>
    <row r="28" customFormat="false" ht="15" hidden="false" customHeight="false" outlineLevel="0" collapsed="false">
      <c r="A28" s="2" t="s">
        <v>155</v>
      </c>
      <c r="B28" s="2"/>
      <c r="C28" s="2"/>
      <c r="D28" s="2"/>
      <c r="E28" s="2"/>
    </row>
  </sheetData>
  <mergeCells count="3">
    <mergeCell ref="A1:E1"/>
    <mergeCell ref="A2:E2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58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15" t="s">
        <v>156</v>
      </c>
      <c r="B1" s="15"/>
      <c r="C1" s="15"/>
      <c r="D1" s="15"/>
      <c r="E1" s="15"/>
    </row>
    <row r="2" customFormat="false" ht="15" hidden="false" customHeight="false" outlineLevel="0" collapsed="false">
      <c r="A2" s="2" t="s">
        <v>157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23</v>
      </c>
      <c r="B4" s="4" t="s">
        <v>158</v>
      </c>
      <c r="C4" s="4" t="s">
        <v>159</v>
      </c>
      <c r="D4" s="4" t="s">
        <v>160</v>
      </c>
      <c r="E4" s="4" t="s">
        <v>161</v>
      </c>
    </row>
    <row r="5" customFormat="false" ht="15" hidden="false" customHeight="false" outlineLevel="0" collapsed="false">
      <c r="A5" s="13" t="n">
        <v>1</v>
      </c>
      <c r="B5" s="13" t="s">
        <v>162</v>
      </c>
      <c r="C5" s="13" t="s">
        <v>163</v>
      </c>
      <c r="D5" s="13" t="s">
        <v>164</v>
      </c>
      <c r="E5" s="14" t="n">
        <v>0</v>
      </c>
    </row>
    <row r="6" customFormat="false" ht="15" hidden="false" customHeight="false" outlineLevel="0" collapsed="false">
      <c r="A6" s="13" t="n">
        <v>2</v>
      </c>
      <c r="B6" s="13" t="s">
        <v>165</v>
      </c>
      <c r="C6" s="13" t="s">
        <v>166</v>
      </c>
      <c r="D6" s="13" t="s">
        <v>164</v>
      </c>
      <c r="E6" s="14" t="n">
        <v>0</v>
      </c>
    </row>
    <row r="7" customFormat="false" ht="15" hidden="false" customHeight="false" outlineLevel="0" collapsed="false">
      <c r="A7" s="13" t="n">
        <v>3</v>
      </c>
      <c r="B7" s="13" t="s">
        <v>167</v>
      </c>
      <c r="C7" s="13" t="s">
        <v>168</v>
      </c>
      <c r="D7" s="13" t="s">
        <v>164</v>
      </c>
      <c r="E7" s="14" t="n">
        <v>0</v>
      </c>
    </row>
    <row r="8" customFormat="false" ht="15" hidden="false" customHeight="false" outlineLevel="0" collapsed="false">
      <c r="A8" s="13" t="n">
        <v>4</v>
      </c>
      <c r="B8" s="13" t="s">
        <v>169</v>
      </c>
      <c r="C8" s="13" t="s">
        <v>170</v>
      </c>
      <c r="D8" s="21" t="s">
        <v>171</v>
      </c>
      <c r="E8" s="8" t="n">
        <f aca="false">'Azure Spend Detail'!F34</f>
        <v>21.1574666666667</v>
      </c>
    </row>
    <row r="9" customFormat="false" ht="15" hidden="false" customHeight="false" outlineLevel="0" collapsed="false">
      <c r="A9" s="13" t="n">
        <v>5</v>
      </c>
      <c r="B9" s="13" t="s">
        <v>172</v>
      </c>
      <c r="C9" s="13" t="s">
        <v>173</v>
      </c>
      <c r="D9" s="13" t="s">
        <v>174</v>
      </c>
      <c r="E9" s="14" t="n">
        <v>0</v>
      </c>
    </row>
    <row r="10" customFormat="false" ht="15" hidden="false" customHeight="false" outlineLevel="0" collapsed="false">
      <c r="A10" s="10" t="s">
        <v>175</v>
      </c>
      <c r="B10" s="10"/>
      <c r="C10" s="10"/>
      <c r="D10" s="10"/>
      <c r="E10" s="11" t="n">
        <f aca="false">SUM(E5:E9)</f>
        <v>21.1574666666667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2026-04-24T06:55:50Z</dcterms:created>
  <dc:creator>openpyxl</dc:creator>
  <dc:description/>
  <dc:language>en-US</dc:language>
  <cp:lastModifiedBy/>
  <dcterms:modified xsi:type="dcterms:W3CDTF">2026-04-24T06:55:50Z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